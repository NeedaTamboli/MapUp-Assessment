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Submissions\"/>
    </mc:Choice>
  </mc:AlternateContent>
  <xr:revisionPtr revIDLastSave="0" documentId="13_ncr:1_{98C1CE39-7B17-4A13-A95C-68D33592476A}" xr6:coauthVersionLast="47" xr6:coauthVersionMax="47" xr10:uidLastSave="{00000000-0000-0000-0000-000000000000}"/>
  <bookViews>
    <workbookView xWindow="-108" yWindow="-108" windowWidth="23256" windowHeight="12456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 a="1"/>
  <c r="C22" i="19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30" i="18" l="1"/>
  <c r="E30" i="18"/>
  <c r="D30" i="18"/>
  <c r="C30" i="18"/>
  <c r="F29" i="18"/>
  <c r="E29" i="18"/>
  <c r="D29" i="18"/>
  <c r="C29" i="18"/>
  <c r="F28" i="18"/>
  <c r="E28" i="18"/>
  <c r="D28" i="18"/>
  <c r="C28" i="18"/>
  <c r="B29" i="18"/>
  <c r="B30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Y5" i="1"/>
  <c r="Y3" i="1"/>
  <c r="Y4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</calcChain>
</file>

<file path=xl/sharedStrings.xml><?xml version="1.0" encoding="utf-8"?>
<sst xmlns="http://schemas.openxmlformats.org/spreadsheetml/2006/main" count="411" uniqueCount="185">
  <si>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</si>
  <si>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</si>
  <si>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</si>
  <si>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</si>
  <si>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</si>
  <si>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</si>
  <si>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</si>
  <si>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</si>
  <si>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</si>
  <si>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</si>
  <si>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</si>
  <si>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</si>
  <si>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</si>
  <si>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</si>
  <si>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</si>
  <si>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</si>
  <si>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</si>
  <si>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</si>
  <si>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</si>
  <si>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</si>
  <si>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</si>
  <si>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</si>
  <si>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</si>
  <si>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</si>
  <si>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</si>
  <si>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</si>
  <si>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</si>
  <si>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</si>
  <si>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</si>
  <si>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</si>
  <si>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</si>
  <si>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</si>
  <si>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</si>
  <si>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</si>
  <si>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</si>
  <si>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</si>
  <si>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</si>
  <si>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</si>
  <si>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</si>
  <si>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</si>
  <si>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</si>
  <si>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</si>
  <si>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</si>
  <si>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</si>
  <si>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</si>
  <si>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</si>
  <si>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</si>
  <si>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</si>
  <si>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</si>
  <si>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</si>
  <si>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</si>
  <si>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</si>
  <si>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</si>
  <si>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</si>
  <si>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</si>
  <si>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</si>
  <si>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</si>
  <si>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</si>
  <si>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</si>
  <si>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</si>
  <si>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</si>
  <si>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</si>
  <si>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</si>
  <si>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</si>
  <si>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</si>
  <si>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</si>
  <si>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</si>
  <si>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</si>
  <si>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</si>
  <si>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</si>
  <si>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</si>
  <si>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</si>
  <si>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</si>
  <si>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</si>
  <si>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</si>
  <si>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</si>
  <si>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</si>
  <si>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</si>
  <si>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</si>
  <si>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</si>
  <si>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</si>
  <si>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</si>
  <si>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</si>
  <si>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</si>
  <si>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</si>
  <si>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</si>
  <si>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</si>
  <si>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</si>
  <si>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</si>
  <si>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</si>
  <si>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</si>
  <si>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</si>
  <si>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</si>
  <si>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</si>
  <si>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</si>
  <si>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</si>
  <si>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</si>
  <si>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</si>
  <si>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</si>
  <si>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</si>
  <si>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</si>
  <si>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</si>
  <si>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</si>
  <si>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</si>
  <si>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</si>
  <si>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</si>
  <si>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</si>
  <si>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</si>
  <si>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</si>
  <si>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</si>
  <si>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</si>
  <si>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</si>
  <si>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</si>
  <si>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</si>
  <si>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</si>
  <si>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</si>
  <si>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</si>
  <si>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</si>
  <si>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</si>
  <si>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</si>
  <si>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</si>
  <si>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</si>
  <si>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</si>
  <si>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</si>
  <si>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</si>
  <si>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</si>
  <si>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</si>
  <si>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</si>
  <si>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</si>
  <si>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</si>
  <si>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</si>
  <si>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</si>
  <si>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</si>
  <si>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</si>
  <si>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</si>
  <si>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</si>
  <si>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</si>
  <si>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</si>
  <si>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</si>
  <si>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</si>
  <si>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</si>
  <si>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</si>
  <si>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</si>
  <si>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</si>
  <si>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</si>
  <si>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</si>
  <si>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</si>
  <si>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</si>
  <si>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</si>
  <si>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</si>
  <si>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</si>
  <si>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</si>
  <si>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</si>
  <si>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</si>
  <si>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</si>
  <si>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</si>
  <si>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</si>
  <si>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</si>
  <si>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</si>
  <si>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</si>
  <si>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</si>
  <si>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</si>
  <si>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</si>
  <si>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</si>
  <si>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</si>
  <si>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</si>
  <si>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</si>
  <si>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</si>
  <si>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</si>
  <si>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</si>
  <si>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</si>
  <si>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</si>
  <si>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</si>
  <si>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</si>
  <si>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</si>
  <si>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</si>
  <si>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</si>
  <si>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Modified date</t>
  </si>
  <si>
    <t>text(col,"YYYY-MM-DD")</t>
  </si>
  <si>
    <t>First to select the portion where data lies that is $A$16 to $A$54</t>
  </si>
  <si>
    <t>Go to Data Tab, Select Text To columns, select delimited , select other and write there hyphen "-" and then select range from where to start $B$16 and then finish</t>
  </si>
  <si>
    <t>"=SUMIFS(H2:H40,H2:H40,"&gt;20")"</t>
  </si>
  <si>
    <t>completed</t>
  </si>
  <si>
    <t>I have used sum, if and iferror formulas</t>
  </si>
  <si>
    <t>As this is an array formula so instead of just "Enter" we should use "ctrl"+"shift"+"Enter"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</si>
</sst>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0.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7" fillId="2" borderId="0" xfId="0" applyNumberFormat="1" applyFont="1" applyFill="1"/>
    <xf numFmtId="0" fontId="3" fillId="0" borderId="0" xfId="0" applyNumberFormat="1" applyFont="1"/>
    <xf numFmtId="14" fontId="7" fillId="0" borderId="0" xfId="0" applyNumberFormat="1" applyFont="1"/>
    <xf numFmtId="164" fontId="4" fillId="5" borderId="0" xfId="0" applyNumberFormat="1" applyFont="1" applyFill="1"/>
    <xf numFmtId="164" fontId="3" fillId="5" borderId="0" xfId="0" applyNumberFormat="1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C1" zoomScaleNormal="100" workbookViewId="0">
      <pane ySplit="1" topLeftCell="A2" activePane="bottomLeft" state="frozen"/>
      <selection pane="bottomLeft" activeCell="G25" sqref="G25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7" width="12.77734375" style="1" bestFit="1" customWidth="1"/>
    <col min="8" max="8" width="12.77734375" style="47" bestFit="1" customWidth="1"/>
    <col min="9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6.77734375" style="27" bestFit="1" customWidth="1"/>
    <col min="25" max="25" width="13.21875" style="1" customWidth="1"/>
    <col min="26" max="16384" width="9" style="1"/>
  </cols>
  <sheetData>
    <row r="1" spans="1:25" s="3" customFormat="1" ht="14.7" customHeight="1" x14ac:dyDescent="0.3">
      <c r="A1" s="28" t="s">
        <v>64</v>
      </c>
      <c r="B1" s="28" t="s">
        <v>43</v>
      </c>
      <c r="C1" s="28" t="s">
        <v>0</v>
      </c>
      <c r="D1" s="49" t="s">
        <v>1</v>
      </c>
      <c r="E1" s="28" t="s">
        <v>2</v>
      </c>
      <c r="F1" s="29" t="s">
        <v>3</v>
      </c>
      <c r="G1" s="30" t="s">
        <v>79</v>
      </c>
      <c r="H1" s="46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48" t="s">
        <v>105</v>
      </c>
      <c r="Y1" s="3" t="s">
        <v>177</v>
      </c>
    </row>
    <row r="2" spans="1:25" x14ac:dyDescent="0.3">
      <c r="A2" s="1" t="s">
        <v>40</v>
      </c>
      <c r="B2" s="1">
        <v>20000</v>
      </c>
      <c r="C2" s="1" t="s">
        <v>5</v>
      </c>
      <c r="D2" s="50">
        <v>0</v>
      </c>
      <c r="E2" s="1" t="s">
        <v>6</v>
      </c>
      <c r="F2" s="24">
        <v>0.99998842592592596</v>
      </c>
      <c r="G2" s="1">
        <v>2.7</v>
      </c>
      <c r="H2" s="47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>
        <f>TEXT(X2, "YYYY-MM-DD")</f>
        <v>2023-05-05</v>
      </c>
    </row>
    <row r="3" spans="1:25" x14ac:dyDescent="0.3">
      <c r="A3" s="1" t="s">
        <v>4</v>
      </c>
      <c r="B3" s="1">
        <v>20002</v>
      </c>
      <c r="C3" s="1" t="s">
        <v>5</v>
      </c>
      <c r="D3" s="50">
        <v>0</v>
      </c>
      <c r="E3" s="1" t="s">
        <v>6</v>
      </c>
      <c r="F3" s="24">
        <v>0.99998842592592596</v>
      </c>
      <c r="G3" s="1">
        <v>2.7</v>
      </c>
      <c r="H3" s="45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f t="shared" ref="Y3:Y40" si="0">TEXT(X3, "YYYY-MM-DD")</f>
        <v>2023-05-02</v>
      </c>
    </row>
    <row r="4" spans="1:25" x14ac:dyDescent="0.3">
      <c r="A4" s="1" t="s">
        <v>7</v>
      </c>
      <c r="B4" s="1">
        <v>20004</v>
      </c>
      <c r="C4" s="1" t="s">
        <v>5</v>
      </c>
      <c r="D4" s="50">
        <v>0</v>
      </c>
      <c r="E4" s="1" t="s">
        <v>6</v>
      </c>
      <c r="F4" s="24">
        <v>0.99998842592592596</v>
      </c>
      <c r="G4" s="1">
        <v>3.6</v>
      </c>
      <c r="H4" s="47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f t="shared" si="0"/>
        <v>2023-05-09</v>
      </c>
    </row>
    <row r="5" spans="1:25" x14ac:dyDescent="0.3">
      <c r="A5" s="1" t="s">
        <v>8</v>
      </c>
      <c r="B5" s="1">
        <v>20006</v>
      </c>
      <c r="C5" s="1" t="s">
        <v>5</v>
      </c>
      <c r="D5" s="50">
        <v>0</v>
      </c>
      <c r="E5" s="1" t="s">
        <v>6</v>
      </c>
      <c r="F5" s="24">
        <v>0.99998842592592596</v>
      </c>
      <c r="G5" s="1">
        <v>4.9000000000000004</v>
      </c>
      <c r="H5" s="47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f>TEXT(X5, "YYYY-MM-DD")</f>
        <v>2023-05-13</v>
      </c>
    </row>
    <row r="6" spans="1:25" x14ac:dyDescent="0.3">
      <c r="A6" s="1" t="s">
        <v>9</v>
      </c>
      <c r="B6" s="1">
        <v>20008</v>
      </c>
      <c r="C6" s="1" t="s">
        <v>5</v>
      </c>
      <c r="D6" s="50">
        <v>0</v>
      </c>
      <c r="E6" s="1" t="s">
        <v>6</v>
      </c>
      <c r="F6" s="24">
        <v>0.99998842592592596</v>
      </c>
      <c r="G6" s="1">
        <v>6.6</v>
      </c>
      <c r="H6" s="47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f t="shared" si="0"/>
        <v>2023-05-30</v>
      </c>
    </row>
    <row r="7" spans="1:25" x14ac:dyDescent="0.3">
      <c r="A7" s="1" t="s">
        <v>10</v>
      </c>
      <c r="B7" s="1">
        <v>20010</v>
      </c>
      <c r="C7" s="1" t="s">
        <v>5</v>
      </c>
      <c r="D7" s="50">
        <v>0</v>
      </c>
      <c r="E7" s="1" t="s">
        <v>6</v>
      </c>
      <c r="F7" s="24">
        <v>0.99998842592592596</v>
      </c>
      <c r="G7" s="1">
        <v>7.1</v>
      </c>
      <c r="H7" s="47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f t="shared" si="0"/>
        <v>2023-05-11</v>
      </c>
    </row>
    <row r="8" spans="1:25" x14ac:dyDescent="0.3">
      <c r="A8" s="1" t="s">
        <v>11</v>
      </c>
      <c r="B8" s="1">
        <v>20012</v>
      </c>
      <c r="C8" s="1" t="s">
        <v>5</v>
      </c>
      <c r="D8" s="50">
        <v>0</v>
      </c>
      <c r="E8" s="1" t="s">
        <v>6</v>
      </c>
      <c r="F8" s="24">
        <v>0.99998842592592596</v>
      </c>
      <c r="G8" s="1">
        <v>9.4</v>
      </c>
      <c r="H8" s="47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f t="shared" si="0"/>
        <v>2023-05-06</v>
      </c>
    </row>
    <row r="9" spans="1:25" x14ac:dyDescent="0.3">
      <c r="A9" s="1" t="s">
        <v>12</v>
      </c>
      <c r="B9" s="1">
        <v>20014</v>
      </c>
      <c r="C9" s="1" t="s">
        <v>5</v>
      </c>
      <c r="D9" s="50">
        <v>0</v>
      </c>
      <c r="E9" s="1" t="s">
        <v>6</v>
      </c>
      <c r="F9" s="24">
        <v>0.99998842592592596</v>
      </c>
      <c r="G9" s="1">
        <v>11.6</v>
      </c>
      <c r="H9" s="47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f t="shared" si="0"/>
        <v>2023-06-21</v>
      </c>
    </row>
    <row r="10" spans="1:25" x14ac:dyDescent="0.3">
      <c r="A10" s="1" t="s">
        <v>13</v>
      </c>
      <c r="B10" s="1">
        <v>20016</v>
      </c>
      <c r="C10" s="1" t="s">
        <v>5</v>
      </c>
      <c r="D10" s="50">
        <v>0</v>
      </c>
      <c r="E10" s="1" t="s">
        <v>6</v>
      </c>
      <c r="F10" s="24">
        <v>0.99998842592592596</v>
      </c>
      <c r="G10" s="1">
        <v>16.100000000000001</v>
      </c>
      <c r="H10" s="47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f t="shared" si="0"/>
        <v>2023-06-15</v>
      </c>
    </row>
    <row r="11" spans="1:25" x14ac:dyDescent="0.3">
      <c r="A11" s="1" t="s">
        <v>14</v>
      </c>
      <c r="B11" s="1">
        <v>20018</v>
      </c>
      <c r="C11" s="1" t="s">
        <v>5</v>
      </c>
      <c r="D11" s="50">
        <v>0</v>
      </c>
      <c r="E11" s="1" t="s">
        <v>6</v>
      </c>
      <c r="F11" s="24">
        <v>0.99998842592592596</v>
      </c>
      <c r="G11" s="1">
        <v>18.399999999999999</v>
      </c>
      <c r="H11" s="47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f t="shared" si="0"/>
        <v>2023-06-27</v>
      </c>
    </row>
    <row r="12" spans="1:25" x14ac:dyDescent="0.3">
      <c r="A12" s="1" t="s">
        <v>15</v>
      </c>
      <c r="B12" s="1">
        <v>20020</v>
      </c>
      <c r="C12" s="1" t="s">
        <v>5</v>
      </c>
      <c r="D12" s="50">
        <v>0</v>
      </c>
      <c r="E12" s="1" t="s">
        <v>6</v>
      </c>
      <c r="F12" s="24">
        <v>0.99998842592592596</v>
      </c>
      <c r="G12" s="1">
        <v>0</v>
      </c>
      <c r="H12" s="47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1" t="str">
        <f t="shared" si="0"/>
        <v>2023-07-09</v>
      </c>
    </row>
    <row r="13" spans="1:25" x14ac:dyDescent="0.3">
      <c r="A13" s="1" t="s">
        <v>16</v>
      </c>
      <c r="B13" s="1">
        <v>20022</v>
      </c>
      <c r="C13" s="1" t="s">
        <v>5</v>
      </c>
      <c r="D13" s="50">
        <v>0</v>
      </c>
      <c r="E13" s="1" t="s">
        <v>6</v>
      </c>
      <c r="F13" s="24">
        <v>0.99998842592592596</v>
      </c>
      <c r="G13" s="1">
        <v>21.9</v>
      </c>
      <c r="H13" s="47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f t="shared" si="0"/>
        <v>2023-07-03</v>
      </c>
    </row>
    <row r="14" spans="1:25" x14ac:dyDescent="0.3">
      <c r="A14" s="1" t="s">
        <v>17</v>
      </c>
      <c r="B14" s="1">
        <v>20024</v>
      </c>
      <c r="C14" s="1" t="s">
        <v>5</v>
      </c>
      <c r="D14" s="50">
        <v>0</v>
      </c>
      <c r="E14" s="1" t="s">
        <v>6</v>
      </c>
      <c r="F14" s="24">
        <v>0.99998842592592596</v>
      </c>
      <c r="G14" s="1">
        <v>23.5</v>
      </c>
      <c r="H14" s="47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f t="shared" si="0"/>
        <v>2023-06-18</v>
      </c>
    </row>
    <row r="15" spans="1:25" x14ac:dyDescent="0.3">
      <c r="A15" s="1" t="s">
        <v>18</v>
      </c>
      <c r="B15" s="1">
        <v>20026</v>
      </c>
      <c r="C15" s="1" t="s">
        <v>5</v>
      </c>
      <c r="D15" s="50">
        <v>0</v>
      </c>
      <c r="E15" s="1" t="s">
        <v>6</v>
      </c>
      <c r="F15" s="24">
        <v>0.99998842592592596</v>
      </c>
      <c r="G15" s="1">
        <v>26.8</v>
      </c>
      <c r="H15" s="47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f t="shared" si="0"/>
        <v>2023-07-06</v>
      </c>
    </row>
    <row r="16" spans="1:25" x14ac:dyDescent="0.3">
      <c r="A16" s="1" t="s">
        <v>19</v>
      </c>
      <c r="B16" s="1">
        <v>20028</v>
      </c>
      <c r="C16" s="1" t="s">
        <v>5</v>
      </c>
      <c r="D16" s="50">
        <v>0</v>
      </c>
      <c r="E16" s="1" t="s">
        <v>6</v>
      </c>
      <c r="F16" s="24">
        <v>0.99998842592592596</v>
      </c>
      <c r="G16" s="1">
        <v>28</v>
      </c>
      <c r="H16" s="47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f t="shared" si="0"/>
        <v>2023-05-17</v>
      </c>
    </row>
    <row r="17" spans="1:25" x14ac:dyDescent="0.3">
      <c r="A17" s="1" t="s">
        <v>20</v>
      </c>
      <c r="B17" s="1">
        <v>20030</v>
      </c>
      <c r="C17" s="1" t="s">
        <v>5</v>
      </c>
      <c r="D17" s="50">
        <v>0</v>
      </c>
      <c r="E17" s="1" t="s">
        <v>6</v>
      </c>
      <c r="F17" s="24">
        <v>0.99998842592592596</v>
      </c>
      <c r="G17" s="1">
        <v>28.5</v>
      </c>
      <c r="H17" s="47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f t="shared" si="0"/>
        <v>2023-05-25</v>
      </c>
    </row>
    <row r="18" spans="1:25" x14ac:dyDescent="0.3">
      <c r="A18" s="1" t="s">
        <v>21</v>
      </c>
      <c r="B18" s="1">
        <v>20032</v>
      </c>
      <c r="C18" s="1" t="s">
        <v>5</v>
      </c>
      <c r="D18" s="50">
        <v>0</v>
      </c>
      <c r="E18" s="1" t="s">
        <v>6</v>
      </c>
      <c r="F18" s="24">
        <v>0.99998842592592596</v>
      </c>
      <c r="G18" s="1">
        <v>29.1</v>
      </c>
      <c r="H18" s="47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f t="shared" si="0"/>
        <v>2023-06-08</v>
      </c>
    </row>
    <row r="19" spans="1:25" x14ac:dyDescent="0.3">
      <c r="A19" s="1" t="s">
        <v>22</v>
      </c>
      <c r="B19" s="1">
        <v>20034</v>
      </c>
      <c r="C19" s="1" t="s">
        <v>5</v>
      </c>
      <c r="D19" s="50">
        <v>0</v>
      </c>
      <c r="E19" s="1" t="s">
        <v>6</v>
      </c>
      <c r="F19" s="24">
        <v>0.99998842592592596</v>
      </c>
      <c r="G19" s="1">
        <v>30.7</v>
      </c>
      <c r="H19" s="47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f t="shared" si="0"/>
        <v>2023-06-22</v>
      </c>
    </row>
    <row r="20" spans="1:25" x14ac:dyDescent="0.3">
      <c r="A20" s="1" t="s">
        <v>23</v>
      </c>
      <c r="B20" s="1">
        <v>20036</v>
      </c>
      <c r="C20" s="1" t="s">
        <v>5</v>
      </c>
      <c r="D20" s="50">
        <v>0</v>
      </c>
      <c r="E20" s="1" t="s">
        <v>6</v>
      </c>
      <c r="F20" s="24">
        <v>0.99998842592592596</v>
      </c>
      <c r="G20" s="1">
        <v>33.799999999999997</v>
      </c>
      <c r="H20" s="47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f t="shared" si="0"/>
        <v>2023-06-14</v>
      </c>
    </row>
    <row r="21" spans="1:25" x14ac:dyDescent="0.3">
      <c r="A21" s="1" t="s">
        <v>24</v>
      </c>
      <c r="B21" s="1">
        <v>20038</v>
      </c>
      <c r="C21" s="1" t="s">
        <v>5</v>
      </c>
      <c r="D21" s="50">
        <v>0</v>
      </c>
      <c r="E21" s="1" t="s">
        <v>6</v>
      </c>
      <c r="F21" s="24">
        <v>0.99998842592592596</v>
      </c>
      <c r="G21" s="1">
        <v>34.700000000000003</v>
      </c>
      <c r="H21" s="47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f t="shared" si="0"/>
        <v>2023-06-02</v>
      </c>
    </row>
    <row r="22" spans="1:25" x14ac:dyDescent="0.3">
      <c r="A22" s="1" t="s">
        <v>25</v>
      </c>
      <c r="B22" s="1">
        <v>20040</v>
      </c>
      <c r="C22" s="1" t="s">
        <v>5</v>
      </c>
      <c r="D22" s="50">
        <v>0</v>
      </c>
      <c r="E22" s="1" t="s">
        <v>6</v>
      </c>
      <c r="F22" s="24">
        <v>0.99998842592592596</v>
      </c>
      <c r="G22" s="1">
        <v>36.5</v>
      </c>
      <c r="H22" s="47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f t="shared" si="0"/>
        <v>2023-05-29</v>
      </c>
    </row>
    <row r="23" spans="1:25" x14ac:dyDescent="0.3">
      <c r="A23" s="1" t="s">
        <v>41</v>
      </c>
      <c r="B23" s="1">
        <v>20042</v>
      </c>
      <c r="C23" s="1" t="s">
        <v>5</v>
      </c>
      <c r="D23" s="50">
        <v>0</v>
      </c>
      <c r="E23" s="1" t="s">
        <v>6</v>
      </c>
      <c r="F23" s="24">
        <v>0.99998842592592596</v>
      </c>
      <c r="G23" s="1">
        <v>38</v>
      </c>
      <c r="H23" s="47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f t="shared" si="0"/>
        <v>2023-07-03</v>
      </c>
    </row>
    <row r="24" spans="1:25" x14ac:dyDescent="0.3">
      <c r="A24" s="1" t="s">
        <v>26</v>
      </c>
      <c r="B24" s="1">
        <v>20044</v>
      </c>
      <c r="C24" s="1" t="s">
        <v>5</v>
      </c>
      <c r="D24" s="50">
        <v>0</v>
      </c>
      <c r="E24" s="1" t="s">
        <v>6</v>
      </c>
      <c r="F24" s="24">
        <v>0.99998842592592596</v>
      </c>
      <c r="G24" s="1">
        <v>38.700000000000003</v>
      </c>
      <c r="H24" s="47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f t="shared" si="0"/>
        <v>2023-07-07</v>
      </c>
    </row>
    <row r="25" spans="1:25" x14ac:dyDescent="0.3">
      <c r="A25" s="1" t="s">
        <v>27</v>
      </c>
      <c r="B25" s="1">
        <v>20046</v>
      </c>
      <c r="C25" s="1" t="s">
        <v>5</v>
      </c>
      <c r="D25" s="50">
        <v>0</v>
      </c>
      <c r="E25" s="1" t="s">
        <v>6</v>
      </c>
      <c r="F25" s="24">
        <v>0.99998842592592596</v>
      </c>
      <c r="G25" s="1">
        <v>40.1</v>
      </c>
      <c r="H25" s="47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f t="shared" si="0"/>
        <v>2023-07-11</v>
      </c>
    </row>
    <row r="26" spans="1:25" x14ac:dyDescent="0.3">
      <c r="A26" s="1" t="s">
        <v>28</v>
      </c>
      <c r="B26" s="1">
        <v>20048</v>
      </c>
      <c r="C26" s="1" t="s">
        <v>5</v>
      </c>
      <c r="D26" s="50">
        <v>0</v>
      </c>
      <c r="E26" s="1" t="s">
        <v>6</v>
      </c>
      <c r="F26" s="24">
        <v>0.99998842592592596</v>
      </c>
      <c r="G26" s="1">
        <v>0</v>
      </c>
      <c r="H26" s="47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1" t="str">
        <f t="shared" si="0"/>
        <v>2023-08-04</v>
      </c>
    </row>
    <row r="27" spans="1:25" x14ac:dyDescent="0.3">
      <c r="A27" s="1" t="s">
        <v>57</v>
      </c>
      <c r="B27" s="1">
        <v>20050</v>
      </c>
      <c r="C27" s="1" t="s">
        <v>5</v>
      </c>
      <c r="D27" s="50">
        <v>0</v>
      </c>
      <c r="E27" s="1" t="s">
        <v>6</v>
      </c>
      <c r="F27" s="24">
        <v>0.99998842592592596</v>
      </c>
      <c r="G27" s="1">
        <v>41.3</v>
      </c>
      <c r="H27" s="47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f t="shared" si="0"/>
        <v>2023-08-08</v>
      </c>
    </row>
    <row r="28" spans="1:25" x14ac:dyDescent="0.3">
      <c r="A28" s="1" t="s">
        <v>29</v>
      </c>
      <c r="B28" s="1">
        <v>20052</v>
      </c>
      <c r="C28" s="1" t="s">
        <v>5</v>
      </c>
      <c r="D28" s="50">
        <v>0</v>
      </c>
      <c r="E28" s="1" t="s">
        <v>6</v>
      </c>
      <c r="F28" s="24">
        <v>0.99998842592592596</v>
      </c>
      <c r="G28" s="1">
        <v>42.3</v>
      </c>
      <c r="H28" s="47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f t="shared" si="0"/>
        <v>2023-07-01</v>
      </c>
    </row>
    <row r="29" spans="1:25" x14ac:dyDescent="0.3">
      <c r="A29" s="1" t="s">
        <v>30</v>
      </c>
      <c r="B29" s="1">
        <v>20054</v>
      </c>
      <c r="C29" s="1" t="s">
        <v>5</v>
      </c>
      <c r="D29" s="50">
        <v>0</v>
      </c>
      <c r="E29" s="1" t="s">
        <v>6</v>
      </c>
      <c r="F29" s="24">
        <v>0.99998842592592596</v>
      </c>
      <c r="G29" s="1">
        <v>43.3</v>
      </c>
      <c r="H29" s="47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f t="shared" si="0"/>
        <v>2023-08-15</v>
      </c>
    </row>
    <row r="30" spans="1:25" x14ac:dyDescent="0.3">
      <c r="A30" s="1" t="s">
        <v>58</v>
      </c>
      <c r="B30" s="1">
        <v>20058</v>
      </c>
      <c r="C30" s="1" t="s">
        <v>5</v>
      </c>
      <c r="D30" s="50">
        <v>0</v>
      </c>
      <c r="E30" s="1" t="s">
        <v>6</v>
      </c>
      <c r="F30" s="24">
        <v>0.99998842592592596</v>
      </c>
      <c r="G30" s="1">
        <v>-1</v>
      </c>
      <c r="H30" s="47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f t="shared" si="0"/>
        <v>2023-08-12</v>
      </c>
    </row>
    <row r="31" spans="1:25" x14ac:dyDescent="0.3">
      <c r="A31" s="1" t="s">
        <v>31</v>
      </c>
      <c r="B31" s="1">
        <v>20060</v>
      </c>
      <c r="C31" s="1" t="s">
        <v>5</v>
      </c>
      <c r="D31" s="50">
        <v>0</v>
      </c>
      <c r="E31" s="1" t="s">
        <v>6</v>
      </c>
      <c r="F31" s="24">
        <v>0.99998842592592596</v>
      </c>
      <c r="G31" s="1">
        <v>45</v>
      </c>
      <c r="H31" s="47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f t="shared" si="0"/>
        <v>2023-08-19</v>
      </c>
    </row>
    <row r="32" spans="1:25" x14ac:dyDescent="0.3">
      <c r="A32" s="1" t="s">
        <v>32</v>
      </c>
      <c r="B32" s="1">
        <v>21000</v>
      </c>
      <c r="C32" s="1" t="s">
        <v>5</v>
      </c>
      <c r="D32" s="50">
        <v>0</v>
      </c>
      <c r="E32" s="1" t="s">
        <v>6</v>
      </c>
      <c r="F32" s="24">
        <v>0.99998842592592596</v>
      </c>
      <c r="G32" s="1">
        <v>-1</v>
      </c>
      <c r="H32" s="47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f t="shared" si="0"/>
        <v>2023-08-05</v>
      </c>
    </row>
    <row r="33" spans="1:25" x14ac:dyDescent="0.3">
      <c r="A33" s="1" t="s">
        <v>33</v>
      </c>
      <c r="B33" s="1">
        <v>21002</v>
      </c>
      <c r="C33" s="1" t="s">
        <v>5</v>
      </c>
      <c r="D33" s="50">
        <v>0</v>
      </c>
      <c r="E33" s="1" t="s">
        <v>6</v>
      </c>
      <c r="F33" s="24">
        <v>0.99998842592592596</v>
      </c>
      <c r="G33" s="1">
        <v>41.5</v>
      </c>
      <c r="H33" s="47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f t="shared" si="0"/>
        <v>2023-08-28</v>
      </c>
    </row>
    <row r="34" spans="1:25" x14ac:dyDescent="0.3">
      <c r="A34" s="1" t="s">
        <v>34</v>
      </c>
      <c r="B34" s="1">
        <v>21004</v>
      </c>
      <c r="C34" s="1" t="s">
        <v>5</v>
      </c>
      <c r="D34" s="50">
        <v>0</v>
      </c>
      <c r="E34" s="1" t="s">
        <v>6</v>
      </c>
      <c r="F34" s="24">
        <v>0.99998842592592596</v>
      </c>
      <c r="G34" s="1">
        <v>43.3</v>
      </c>
      <c r="H34" s="47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f t="shared" si="0"/>
        <v>2023-08-24</v>
      </c>
    </row>
    <row r="35" spans="1:25" x14ac:dyDescent="0.3">
      <c r="A35" s="1" t="s">
        <v>35</v>
      </c>
      <c r="B35" s="1">
        <v>21006</v>
      </c>
      <c r="C35" s="1" t="s">
        <v>5</v>
      </c>
      <c r="D35" s="50">
        <v>0</v>
      </c>
      <c r="E35" s="1" t="s">
        <v>6</v>
      </c>
      <c r="F35" s="24">
        <v>0.99998842592592596</v>
      </c>
      <c r="G35" s="1">
        <v>44.5</v>
      </c>
      <c r="H35" s="47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f t="shared" si="0"/>
        <v>2023-08-22</v>
      </c>
    </row>
    <row r="36" spans="1:25" x14ac:dyDescent="0.3">
      <c r="A36" s="1" t="s">
        <v>36</v>
      </c>
      <c r="B36" s="1">
        <v>21008</v>
      </c>
      <c r="C36" s="1" t="s">
        <v>5</v>
      </c>
      <c r="D36" s="50">
        <v>0</v>
      </c>
      <c r="E36" s="1" t="s">
        <v>6</v>
      </c>
      <c r="F36" s="24">
        <v>0.99998842592592596</v>
      </c>
      <c r="G36" s="1">
        <v>47.3</v>
      </c>
      <c r="H36" s="47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f t="shared" si="0"/>
        <v>2023-09-10</v>
      </c>
    </row>
    <row r="37" spans="1:25" x14ac:dyDescent="0.3">
      <c r="A37" s="1" t="s">
        <v>42</v>
      </c>
      <c r="B37" s="1">
        <v>21010</v>
      </c>
      <c r="C37" s="1" t="s">
        <v>5</v>
      </c>
      <c r="D37" s="50">
        <v>0</v>
      </c>
      <c r="E37" s="1" t="s">
        <v>6</v>
      </c>
      <c r="F37" s="24">
        <v>0.99998842592592596</v>
      </c>
      <c r="G37" s="1">
        <v>48.3</v>
      </c>
      <c r="H37" s="47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f t="shared" si="0"/>
        <v>2023-08-19</v>
      </c>
    </row>
    <row r="38" spans="1:25" x14ac:dyDescent="0.3">
      <c r="A38" s="1" t="s">
        <v>37</v>
      </c>
      <c r="B38" s="1">
        <v>21012</v>
      </c>
      <c r="C38" s="1" t="s">
        <v>5</v>
      </c>
      <c r="D38" s="50">
        <v>0</v>
      </c>
      <c r="E38" s="1" t="s">
        <v>6</v>
      </c>
      <c r="F38" s="24">
        <v>0.99998842592592596</v>
      </c>
      <c r="G38" s="1">
        <v>49.1</v>
      </c>
      <c r="H38" s="47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f t="shared" si="0"/>
        <v>2023-08-05</v>
      </c>
    </row>
    <row r="39" spans="1:25" x14ac:dyDescent="0.3">
      <c r="A39" s="1" t="s">
        <v>38</v>
      </c>
      <c r="B39" s="1">
        <v>21014</v>
      </c>
      <c r="C39" s="1" t="s">
        <v>5</v>
      </c>
      <c r="D39" s="50">
        <v>0</v>
      </c>
      <c r="E39" s="1" t="s">
        <v>6</v>
      </c>
      <c r="F39" s="24">
        <v>0.99998842592592596</v>
      </c>
      <c r="G39" s="1">
        <v>50.6</v>
      </c>
      <c r="H39" s="47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f t="shared" si="0"/>
        <v>2023-08-28</v>
      </c>
    </row>
    <row r="40" spans="1:25" x14ac:dyDescent="0.3">
      <c r="A40" s="1" t="s">
        <v>39</v>
      </c>
      <c r="B40" s="1">
        <v>21016</v>
      </c>
      <c r="C40" s="1" t="s">
        <v>5</v>
      </c>
      <c r="D40" s="50">
        <v>0</v>
      </c>
      <c r="E40" s="1" t="s">
        <v>6</v>
      </c>
      <c r="F40" s="24">
        <v>0.99998842592592596</v>
      </c>
      <c r="G40" s="1">
        <v>51.8</v>
      </c>
      <c r="H40" s="47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f t="shared" si="0"/>
        <v>2023-08-24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5" sqref="D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D3" s="1" t="s">
        <v>182</v>
      </c>
      <c r="E3" s="1">
        <v>5</v>
      </c>
    </row>
    <row r="4" spans="1:5" x14ac:dyDescent="0.3">
      <c r="A4" s="6">
        <v>2</v>
      </c>
      <c r="B4" s="2" t="s">
        <v>46</v>
      </c>
      <c r="C4" s="2"/>
      <c r="D4" s="1" t="s">
        <v>182</v>
      </c>
      <c r="E4" s="1">
        <v>5</v>
      </c>
    </row>
    <row r="5" spans="1:5" x14ac:dyDescent="0.3">
      <c r="A5" s="6">
        <v>3</v>
      </c>
      <c r="B5" s="2" t="s">
        <v>104</v>
      </c>
      <c r="C5" s="34" t="s">
        <v>181</v>
      </c>
      <c r="D5" s="1" t="s">
        <v>182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178</v>
      </c>
      <c r="D6" s="1" t="s">
        <v>182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M25" sqref="M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VLOOKUP(A6,Dataset!A:G,7,FALSE)</f>
        <v>2.7</v>
      </c>
      <c r="C6" s="12">
        <f>VLOOKUP(A6,Dataset!A:N,14,FALSE)</f>
        <v>7.6</v>
      </c>
      <c r="D6" s="12">
        <f>VLOOKUP(A6,Dataset!A:R,18,FALSE)</f>
        <v>4.2</v>
      </c>
      <c r="E6" s="12">
        <f>VLOOKUP(A6,Dataset!A:T,20,FALSE)</f>
        <v>8.9</v>
      </c>
      <c r="F6" s="8">
        <f>VLOOKUP(A6,Dataset!A:V,22,FALSE)</f>
        <v>4.2</v>
      </c>
    </row>
    <row r="7" spans="1:7" ht="14.4" x14ac:dyDescent="0.3">
      <c r="A7" s="7" t="s">
        <v>4</v>
      </c>
      <c r="B7" s="12">
        <f>VLOOKUP(A7,Dataset!A:G,7,FALSE)</f>
        <v>2.7</v>
      </c>
      <c r="C7" s="12">
        <f>VLOOKUP(A7,Dataset!A:N,14,FALSE)</f>
        <v>7.6</v>
      </c>
      <c r="D7" s="12">
        <f>VLOOKUP(A7,Dataset!A:R,18,FALSE)</f>
        <v>4.2</v>
      </c>
      <c r="E7" s="12">
        <f>VLOOKUP(A7,Dataset!A:T,20,FALSE)</f>
        <v>8.9</v>
      </c>
      <c r="F7" s="8">
        <f>VLOOKUP(A7,Dataset!A:V,22,FALSE)</f>
        <v>4.2</v>
      </c>
    </row>
    <row r="8" spans="1:7" ht="14.4" x14ac:dyDescent="0.3">
      <c r="A8" s="7" t="s">
        <v>7</v>
      </c>
      <c r="B8" s="12">
        <f>VLOOKUP(A8,Dataset!A:G,7,FALSE)</f>
        <v>3.6</v>
      </c>
      <c r="C8" s="12">
        <f>VLOOKUP(A8,Dataset!A:N,14,FALSE)</f>
        <v>11.1</v>
      </c>
      <c r="D8" s="12">
        <f>VLOOKUP(A8,Dataset!A:R,18,FALSE)</f>
        <v>5.8</v>
      </c>
      <c r="E8" s="12">
        <f>VLOOKUP(A8,Dataset!A:T,20,FALSE)</f>
        <v>12.2</v>
      </c>
      <c r="F8" s="8">
        <f>VLOOKUP(A8,Dataset!A:V,22,FALSE)</f>
        <v>5.8</v>
      </c>
    </row>
    <row r="9" spans="1:7" ht="14.4" x14ac:dyDescent="0.3">
      <c r="A9" s="7" t="s">
        <v>8</v>
      </c>
      <c r="B9" s="12">
        <f>VLOOKUP(A9,Dataset!A:G,7,FALSE)</f>
        <v>4.9000000000000004</v>
      </c>
      <c r="C9" s="12">
        <f>VLOOKUP(A9,Dataset!A:N,14,FALSE)</f>
        <v>13.3</v>
      </c>
      <c r="D9" s="12">
        <f>VLOOKUP(A9,Dataset!A:R,18,FALSE)</f>
        <v>8.1</v>
      </c>
      <c r="E9" s="12">
        <f>VLOOKUP(A9,Dataset!A:T,20,FALSE)</f>
        <v>17</v>
      </c>
      <c r="F9" s="8">
        <f>VLOOKUP(A9,Dataset!A:V,22,FALSE)</f>
        <v>8.1</v>
      </c>
    </row>
    <row r="10" spans="1:7" ht="14.4" x14ac:dyDescent="0.3">
      <c r="A10" s="7" t="s">
        <v>11</v>
      </c>
      <c r="B10" s="12">
        <f>VLOOKUP(A10,Dataset!A:G,7,FALSE)</f>
        <v>9.4</v>
      </c>
      <c r="C10" s="12">
        <f>VLOOKUP(A10,Dataset!A:N,14,FALSE)</f>
        <v>28.3</v>
      </c>
      <c r="D10" s="12">
        <f>VLOOKUP(A10,Dataset!A:R,18,FALSE)</f>
        <v>16.100000000000001</v>
      </c>
      <c r="E10" s="12">
        <f>VLOOKUP(A10,Dataset!A:T,20,FALSE)</f>
        <v>32.799999999999997</v>
      </c>
      <c r="F10" s="8">
        <f>VLOOKUP(A10,Dataset!A:V,22,FALSE)</f>
        <v>16.100000000000001</v>
      </c>
    </row>
    <row r="11" spans="1:7" ht="14.4" x14ac:dyDescent="0.3">
      <c r="A11" s="7" t="s">
        <v>12</v>
      </c>
      <c r="B11" s="12">
        <f>VLOOKUP(A11,Dataset!A:G,7,FALSE)</f>
        <v>11.6</v>
      </c>
      <c r="C11" s="12">
        <f>VLOOKUP(A11,Dataset!A:N,14,FALSE)</f>
        <v>35.200000000000003</v>
      </c>
      <c r="D11" s="12">
        <f>VLOOKUP(A11,Dataset!A:R,18,FALSE)</f>
        <v>21.3</v>
      </c>
      <c r="E11" s="12">
        <f>VLOOKUP(A11,Dataset!A:T,20,FALSE)</f>
        <v>43</v>
      </c>
      <c r="F11" s="8">
        <f>VLOOKUP(A11,Dataset!A:V,22,FALSE)</f>
        <v>21.3</v>
      </c>
    </row>
    <row r="12" spans="1:7" ht="14.4" x14ac:dyDescent="0.3">
      <c r="A12" s="7" t="s">
        <v>14</v>
      </c>
      <c r="B12" s="12">
        <f>VLOOKUP(A12,Dataset!A:G,7,FALSE)</f>
        <v>18.399999999999999</v>
      </c>
      <c r="C12" s="12">
        <f>VLOOKUP(A12,Dataset!A:N,14,FALSE)</f>
        <v>55.6</v>
      </c>
      <c r="D12" s="12">
        <f>VLOOKUP(A12,Dataset!A:R,18,FALSE)</f>
        <v>33.799999999999997</v>
      </c>
      <c r="E12" s="12">
        <f>VLOOKUP(A12,Dataset!A:T,20,FALSE)</f>
        <v>67.900000000000006</v>
      </c>
      <c r="F12" s="8">
        <f>VLOOKUP(A12,Dataset!A:V,22,FALSE)</f>
        <v>33.799999999999997</v>
      </c>
    </row>
    <row r="13" spans="1:7" ht="14.4" x14ac:dyDescent="0.3">
      <c r="A13" s="7" t="s">
        <v>15</v>
      </c>
      <c r="B13" s="12">
        <f>VLOOKUP(A13,Dataset!A:G,7,FALSE)</f>
        <v>0</v>
      </c>
      <c r="C13" s="12">
        <f>VLOOKUP(A13,Dataset!A:N,14,FALSE)</f>
        <v>0</v>
      </c>
      <c r="D13" s="12">
        <f>VLOOKUP(A13,Dataset!A:R,18,FALSE)</f>
        <v>0</v>
      </c>
      <c r="E13" s="12">
        <f>VLOOKUP(A13,Dataset!A:T,20,FALSE)</f>
        <v>0</v>
      </c>
      <c r="F13" s="8">
        <f>VLOOKUP(A13,Dataset!A:V,22,FALSE)</f>
        <v>0</v>
      </c>
    </row>
    <row r="14" spans="1:7" ht="14.4" x14ac:dyDescent="0.3">
      <c r="A14" s="7" t="s">
        <v>16</v>
      </c>
      <c r="B14" s="12">
        <f>VLOOKUP(A14,Dataset!A:G,7,FALSE)</f>
        <v>21.9</v>
      </c>
      <c r="C14" s="12">
        <f>VLOOKUP(A14,Dataset!A:N,14,FALSE)</f>
        <v>61.5</v>
      </c>
      <c r="D14" s="12">
        <f>VLOOKUP(A14,Dataset!A:R,18,FALSE)</f>
        <v>40.1</v>
      </c>
      <c r="E14" s="12">
        <f>VLOOKUP(A14,Dataset!A:T,20,FALSE)</f>
        <v>76.599999999999994</v>
      </c>
      <c r="F14" s="8">
        <f>VLOOKUP(A14,Dataset!A:V,22,FALSE)</f>
        <v>40.1</v>
      </c>
    </row>
    <row r="15" spans="1:7" ht="14.4" x14ac:dyDescent="0.3">
      <c r="A15" s="7" t="s">
        <v>18</v>
      </c>
      <c r="B15" s="12">
        <f>VLOOKUP(A15,Dataset!A:G,7,FALSE)</f>
        <v>26.8</v>
      </c>
      <c r="C15" s="12">
        <f>VLOOKUP(A15,Dataset!A:N,14,FALSE)</f>
        <v>79.599999999999994</v>
      </c>
      <c r="D15" s="12">
        <f>VLOOKUP(A15,Dataset!A:R,18,FALSE)</f>
        <v>47.9</v>
      </c>
      <c r="E15" s="12">
        <f>VLOOKUP(A15,Dataset!A:T,20,FALSE)</f>
        <v>96.8</v>
      </c>
      <c r="F15" s="8">
        <f>VLOOKUP(A15,Dataset!A:V,22,FALSE)</f>
        <v>47.9</v>
      </c>
    </row>
    <row r="16" spans="1:7" ht="14.4" x14ac:dyDescent="0.3">
      <c r="A16" s="7" t="s">
        <v>20</v>
      </c>
      <c r="B16" s="12">
        <f>VLOOKUP(A16,Dataset!A:G,7,FALSE)</f>
        <v>28.5</v>
      </c>
      <c r="C16" s="12">
        <f>VLOOKUP(A16,Dataset!A:N,14,FALSE)</f>
        <v>85.4</v>
      </c>
      <c r="D16" s="12">
        <f>VLOOKUP(A16,Dataset!A:R,18,FALSE)</f>
        <v>52.3</v>
      </c>
      <c r="E16" s="12">
        <f>VLOOKUP(A16,Dataset!A:T,20,FALSE)</f>
        <v>106.1</v>
      </c>
      <c r="F16" s="8">
        <f>VLOOKUP(A16,Dataset!A:V,22,FALSE)</f>
        <v>52.3</v>
      </c>
    </row>
    <row r="17" spans="1:6" ht="14.4" x14ac:dyDescent="0.3">
      <c r="A17" s="7" t="s">
        <v>22</v>
      </c>
      <c r="B17" s="12">
        <f>VLOOKUP(A17,Dataset!A:G,7,FALSE)</f>
        <v>30.7</v>
      </c>
      <c r="C17" s="12">
        <f>VLOOKUP(A17,Dataset!A:N,14,FALSE)</f>
        <v>92.1</v>
      </c>
      <c r="D17" s="12">
        <f>VLOOKUP(A17,Dataset!A:R,18,FALSE)</f>
        <v>57</v>
      </c>
      <c r="E17" s="12">
        <f>VLOOKUP(A17,Dataset!A:T,20,FALSE)</f>
        <v>115.1</v>
      </c>
      <c r="F17" s="8">
        <f>VLOOKUP(A17,Dataset!A:V,22,FALSE)</f>
        <v>57</v>
      </c>
    </row>
    <row r="18" spans="1:6" ht="14.4" x14ac:dyDescent="0.3">
      <c r="A18" s="7" t="s">
        <v>23</v>
      </c>
      <c r="B18" s="12">
        <f>VLOOKUP(A18,Dataset!A:G,7,FALSE)</f>
        <v>33.799999999999997</v>
      </c>
      <c r="C18" s="12">
        <f>VLOOKUP(A18,Dataset!A:N,14,FALSE)</f>
        <v>101.3</v>
      </c>
      <c r="D18" s="12">
        <f>VLOOKUP(A18,Dataset!A:R,18,FALSE)</f>
        <v>61.4</v>
      </c>
      <c r="E18" s="12">
        <f>VLOOKUP(A18,Dataset!A:T,20,FALSE)</f>
        <v>124.4</v>
      </c>
      <c r="F18" s="8">
        <f>VLOOKUP(A18,Dataset!A:V,22,FALSE)</f>
        <v>61.4</v>
      </c>
    </row>
    <row r="19" spans="1:6" ht="14.4" x14ac:dyDescent="0.3">
      <c r="A19" s="7" t="s">
        <v>24</v>
      </c>
      <c r="B19" s="12">
        <f>VLOOKUP(A19,Dataset!A:G,7,FALSE)</f>
        <v>34.700000000000003</v>
      </c>
      <c r="C19" s="12">
        <f>VLOOKUP(A19,Dataset!A:N,14,FALSE)</f>
        <v>106.1</v>
      </c>
      <c r="D19" s="12">
        <f>VLOOKUP(A19,Dataset!A:R,18,FALSE)</f>
        <v>63.6</v>
      </c>
      <c r="E19" s="12">
        <f>VLOOKUP(A19,Dataset!A:T,20,FALSE)</f>
        <v>128.6</v>
      </c>
      <c r="F19" s="8">
        <f>VLOOKUP(A19,Dataset!A:V,22,FALSE)</f>
        <v>63.6</v>
      </c>
    </row>
    <row r="20" spans="1:6" ht="14.4" x14ac:dyDescent="0.3">
      <c r="A20" s="7" t="s">
        <v>28</v>
      </c>
      <c r="B20" s="12">
        <f>VLOOKUP(A20,Dataset!A:G,7,FALSE)</f>
        <v>0</v>
      </c>
      <c r="C20" s="12">
        <f>VLOOKUP(A20,Dataset!A:N,14,FALSE)</f>
        <v>0</v>
      </c>
      <c r="D20" s="12">
        <f>VLOOKUP(A20,Dataset!A:R,18,FALSE)</f>
        <v>0</v>
      </c>
      <c r="E20" s="12">
        <f>VLOOKUP(A20,Dataset!A:T,20,FALSE)</f>
        <v>0</v>
      </c>
      <c r="F20" s="8">
        <f>VLOOKUP(A20,Dataset!A:V,22,FALSE)</f>
        <v>0</v>
      </c>
    </row>
    <row r="21" spans="1:6" ht="14.4" x14ac:dyDescent="0.3">
      <c r="A21" s="7" t="s">
        <v>57</v>
      </c>
      <c r="B21" s="12">
        <f>VLOOKUP(A21,Dataset!A:G,7,FALSE)</f>
        <v>41.3</v>
      </c>
      <c r="C21" s="12">
        <f>VLOOKUP(A21,Dataset!A:N,14,FALSE)</f>
        <v>124.4</v>
      </c>
      <c r="D21" s="12">
        <f>VLOOKUP(A21,Dataset!A:R,18,FALSE)</f>
        <v>75</v>
      </c>
      <c r="E21" s="12">
        <f>VLOOKUP(A21,Dataset!A:T,20,FALSE)</f>
        <v>151.5</v>
      </c>
      <c r="F21" s="8">
        <f>VLOOKUP(A21,Dataset!A:V,22,FALSE)</f>
        <v>75</v>
      </c>
    </row>
    <row r="22" spans="1:6" ht="14.4" x14ac:dyDescent="0.3">
      <c r="A22" s="7" t="s">
        <v>58</v>
      </c>
      <c r="B22" s="12">
        <f>VLOOKUP(A22,Dataset!A:G,7,FALSE)</f>
        <v>-1</v>
      </c>
      <c r="C22" s="12">
        <f>VLOOKUP(A22,Dataset!A:N,14,FALSE)</f>
        <v>-1</v>
      </c>
      <c r="D22" s="12">
        <f>VLOOKUP(A22,Dataset!A:R,18,FALSE)</f>
        <v>-1</v>
      </c>
      <c r="E22" s="12">
        <f>VLOOKUP(A22,Dataset!A:T,20,FALSE)</f>
        <v>-1</v>
      </c>
      <c r="F22" s="8">
        <f>VLOOKUP(A22,Dataset!A:V,22,FALSE)</f>
        <v>-1</v>
      </c>
    </row>
    <row r="23" spans="1:6" ht="14.4" x14ac:dyDescent="0.3">
      <c r="A23" s="7" t="s">
        <v>31</v>
      </c>
      <c r="B23" s="12">
        <f>VLOOKUP(A23,Dataset!A:G,7,FALSE)</f>
        <v>45</v>
      </c>
      <c r="C23" s="12">
        <f>VLOOKUP(A23,Dataset!A:N,14,FALSE)</f>
        <v>133.4</v>
      </c>
      <c r="D23" s="12">
        <f>VLOOKUP(A23,Dataset!A:R,18,FALSE)</f>
        <v>79.400000000000006</v>
      </c>
      <c r="E23" s="12">
        <f>VLOOKUP(A23,Dataset!A:T,20,FALSE)</f>
        <v>160.9</v>
      </c>
      <c r="F23" s="8">
        <f>VLOOKUP(A23,Dataset!A:V,22,FALSE)</f>
        <v>79.400000000000006</v>
      </c>
    </row>
    <row r="24" spans="1:6" ht="14.4" x14ac:dyDescent="0.3">
      <c r="A24" s="7" t="s">
        <v>32</v>
      </c>
      <c r="B24" s="12">
        <f>VLOOKUP(A24,Dataset!A:G,7,FALSE)</f>
        <v>-1</v>
      </c>
      <c r="C24" s="12">
        <f>VLOOKUP(A24,Dataset!A:N,14,FALSE)</f>
        <v>-1</v>
      </c>
      <c r="D24" s="12">
        <f>VLOOKUP(A24,Dataset!A:R,18,FALSE)</f>
        <v>-1</v>
      </c>
      <c r="E24" s="12">
        <f>VLOOKUP(A24,Dataset!A:T,20,FALSE)</f>
        <v>-1</v>
      </c>
      <c r="F24" s="8">
        <f>VLOOKUP(A24,Dataset!A:V,22,FALSE)</f>
        <v>-1</v>
      </c>
    </row>
    <row r="25" spans="1:6" ht="14.4" x14ac:dyDescent="0.3">
      <c r="A25" s="7" t="s">
        <v>34</v>
      </c>
      <c r="B25" s="12">
        <f>VLOOKUP(A25,Dataset!A:G,7,FALSE)</f>
        <v>43.3</v>
      </c>
      <c r="C25" s="12">
        <f>VLOOKUP(A25,Dataset!A:N,14,FALSE)</f>
        <v>128.6</v>
      </c>
      <c r="D25" s="12">
        <f>VLOOKUP(A25,Dataset!A:R,18,FALSE)</f>
        <v>79.400000000000006</v>
      </c>
      <c r="E25" s="12">
        <f>VLOOKUP(A25,Dataset!A:T,20,FALSE)</f>
        <v>160.9</v>
      </c>
      <c r="F25" s="8">
        <f>VLOOKUP(A25,Dataset!A:V,22,FALSE)</f>
        <v>79.400000000000006</v>
      </c>
    </row>
    <row r="26" spans="1:6" ht="14.4" x14ac:dyDescent="0.3">
      <c r="A26" s="7" t="s">
        <v>37</v>
      </c>
      <c r="B26" s="12">
        <f>VLOOKUP(A26,Dataset!A:G,7,FALSE)</f>
        <v>49.1</v>
      </c>
      <c r="C26" s="12">
        <f>VLOOKUP(A26,Dataset!A:N,14,FALSE)</f>
        <v>146.80000000000001</v>
      </c>
      <c r="D26" s="12">
        <f>VLOOKUP(A26,Dataset!A:R,18,FALSE)</f>
        <v>90.9</v>
      </c>
      <c r="E26" s="12">
        <f>VLOOKUP(A26,Dataset!A:T,20,FALSE)</f>
        <v>183.5</v>
      </c>
      <c r="F26" s="8">
        <f>VLOOKUP(A26,Dataset!A:V,22,FALSE)</f>
        <v>90.9</v>
      </c>
    </row>
    <row r="27" spans="1:6" ht="14.4" x14ac:dyDescent="0.3">
      <c r="A27" s="7" t="s">
        <v>39</v>
      </c>
      <c r="B27" s="12">
        <f>VLOOKUP(A27,Dataset!A:G,7,FALSE)</f>
        <v>51.8</v>
      </c>
      <c r="C27" s="12">
        <f>VLOOKUP(A27,Dataset!A:N,14,FALSE)</f>
        <v>156.4</v>
      </c>
      <c r="D27" s="12">
        <f>VLOOKUP(A27,Dataset!A:R,18,FALSE)</f>
        <v>93.1</v>
      </c>
      <c r="E27" s="12">
        <f>VLOOKUP(A27,Dataset!A:T,20,FALSE)</f>
        <v>188.1</v>
      </c>
      <c r="F27" s="8">
        <f>VLOOKUP(A27,Dataset!A:V,22,FALSE)</f>
        <v>93.1</v>
      </c>
    </row>
    <row r="28" spans="1:6" ht="14.4" x14ac:dyDescent="0.3">
      <c r="A28" s="19" t="s">
        <v>82</v>
      </c>
      <c r="B28" s="12">
        <f>MIN(B6:B27)</f>
        <v>-1</v>
      </c>
      <c r="C28" s="12">
        <f t="shared" ref="C28:F28" si="0">MIN(C6:C27)</f>
        <v>-1</v>
      </c>
      <c r="D28" s="12">
        <f t="shared" si="0"/>
        <v>-1</v>
      </c>
      <c r="E28" s="12">
        <f t="shared" si="0"/>
        <v>-1</v>
      </c>
      <c r="F28" s="12">
        <f t="shared" si="0"/>
        <v>-1</v>
      </c>
    </row>
    <row r="29" spans="1:6" ht="14.4" x14ac:dyDescent="0.3">
      <c r="A29" s="19" t="s">
        <v>83</v>
      </c>
      <c r="B29" s="12">
        <f>MAX(B6:B27)</f>
        <v>51.8</v>
      </c>
      <c r="C29" s="12">
        <f t="shared" ref="C29:F29" si="1">MAX(C6:C27)</f>
        <v>156.4</v>
      </c>
      <c r="D29" s="12">
        <f t="shared" si="1"/>
        <v>93.1</v>
      </c>
      <c r="E29" s="12">
        <f t="shared" si="1"/>
        <v>188.1</v>
      </c>
      <c r="F29" s="12">
        <f t="shared" si="1"/>
        <v>93.1</v>
      </c>
    </row>
    <row r="30" spans="1:6" ht="14.4" x14ac:dyDescent="0.3">
      <c r="A30" s="19" t="s">
        <v>84</v>
      </c>
      <c r="B30" s="12">
        <f>AVERAGE(B6:B27)</f>
        <v>20.827272727272728</v>
      </c>
      <c r="C30" s="12">
        <f t="shared" ref="C30:F30" si="2">AVERAGE(C6:C27)</f>
        <v>62.377272727272725</v>
      </c>
      <c r="D30" s="12">
        <f t="shared" si="2"/>
        <v>37.800000000000004</v>
      </c>
      <c r="E30" s="12">
        <f t="shared" si="2"/>
        <v>76.418181818181822</v>
      </c>
      <c r="F30" s="1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topLeftCell="A2"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179</v>
      </c>
    </row>
    <row r="6" spans="1:10" ht="18" x14ac:dyDescent="0.35">
      <c r="A6" s="43" t="s">
        <v>153</v>
      </c>
      <c r="B6" s="40" t="s">
        <v>180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2" t="s">
        <v>183</v>
      </c>
    </row>
    <row r="7" spans="1:3" ht="14.4" x14ac:dyDescent="0.3">
      <c r="A7" s="3" t="s">
        <v>153</v>
      </c>
      <c r="B7" s="1" t="s">
        <v>184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>
        <f t="array" ref="C22">SUM(IF(ISERROR(C12:C21),20,C12:C21))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3" zoomScaleNormal="100" workbookViewId="0">
      <selection activeCell="C23" sqref="C23:C3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INDEX($B$10:$J$18, MATCH(VLOOKUP(A23,$M$10:$N$18,2,FALSE),$A$10:$A$18,0),MATCH(VLOOKUP(B23,$M$10:$N$18,2,FALSE),$A$10:$A$18,0))</f>
        <v>95</v>
      </c>
    </row>
    <row r="24" spans="1:14" ht="14.4" x14ac:dyDescent="0.3">
      <c r="A24" s="7">
        <v>10100</v>
      </c>
      <c r="B24" s="12">
        <v>10104</v>
      </c>
      <c r="C24" s="44">
        <f t="shared" ref="C24:C35" si="0">INDEX($B$10:$J$18, MATCH(VLOOKUP(A24,$M$10:$N$18,2,FALSE),$A$10:$A$18,0),MATCH(VLOOKUP(B24,$M$10:$N$18,2,FALSE),$A$10:$A$18,0))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needa tamboli</cp:lastModifiedBy>
  <dcterms:created xsi:type="dcterms:W3CDTF">2015-02-10T17:33:11Z</dcterms:created>
  <dcterms:modified xsi:type="dcterms:W3CDTF">2023-12-10T14:41:18Z</dcterms:modified>
</cp:coreProperties>
</file>